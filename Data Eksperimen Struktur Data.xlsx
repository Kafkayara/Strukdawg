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far\OneDrive\Dokumen\KULIAH SEM 4\Strukdat\PROYEK AKHIR\"/>
    </mc:Choice>
  </mc:AlternateContent>
  <xr:revisionPtr revIDLastSave="0" documentId="13_ncr:1_{7C45D1F5-88FF-4B4F-A32D-38B0FB08533E}" xr6:coauthVersionLast="47" xr6:coauthVersionMax="47" xr10:uidLastSave="{00000000-0000-0000-0000-000000000000}"/>
  <bookViews>
    <workbookView xWindow="-120" yWindow="-120" windowWidth="29040" windowHeight="15720" xr2:uid="{07C2D80F-8588-4091-B526-413ECC7AB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M48" i="1"/>
  <c r="M46" i="1"/>
  <c r="M42" i="1"/>
  <c r="M43" i="1"/>
  <c r="M41" i="1"/>
  <c r="M37" i="1"/>
  <c r="M38" i="1"/>
  <c r="M36" i="1"/>
  <c r="E24" i="1"/>
  <c r="D25" i="1"/>
  <c r="D24" i="1"/>
  <c r="C25" i="1"/>
  <c r="C24" i="1"/>
  <c r="M20" i="1"/>
  <c r="E26" i="1" s="1"/>
  <c r="M19" i="1"/>
  <c r="D26" i="1" s="1"/>
  <c r="M18" i="1"/>
  <c r="C26" i="1" s="1"/>
  <c r="M13" i="1"/>
  <c r="E25" i="1" s="1"/>
  <c r="M12" i="1"/>
  <c r="M6" i="1"/>
  <c r="M5" i="1"/>
  <c r="M11" i="1"/>
  <c r="M4" i="1"/>
</calcChain>
</file>

<file path=xl/sharedStrings.xml><?xml version="1.0" encoding="utf-8"?>
<sst xmlns="http://schemas.openxmlformats.org/spreadsheetml/2006/main" count="46" uniqueCount="26">
  <si>
    <t>Insert</t>
  </si>
  <si>
    <t>Data Kecil (10 Lokasi, 30 Rute)</t>
  </si>
  <si>
    <t>Search (Berhasil)</t>
  </si>
  <si>
    <t>Search (Gagal)</t>
  </si>
  <si>
    <t>Data Sedang (20 Lokasi, 60 Rute)</t>
  </si>
  <si>
    <t>Data Sedang (30 Lokasi, 100 Rute)</t>
  </si>
  <si>
    <t>Skenario</t>
  </si>
  <si>
    <t>Insert (ms)</t>
  </si>
  <si>
    <t>Search Berhasil (ms)</t>
  </si>
  <si>
    <t>Search Gagal (ms)</t>
  </si>
  <si>
    <t>Besar(30 Lokasi, 100 Rute)</t>
  </si>
  <si>
    <t>Sedang (20 Lokasi, 60 Rute)</t>
  </si>
  <si>
    <t>Kecil (10 Lokasi, 30 Rute)</t>
  </si>
  <si>
    <t>Pengulangan ke-</t>
  </si>
  <si>
    <t>Operasi</t>
  </si>
  <si>
    <t>Search Berhasil</t>
  </si>
  <si>
    <t>Insert rute</t>
  </si>
  <si>
    <t>Search barhasil</t>
  </si>
  <si>
    <t>Search gagal</t>
  </si>
  <si>
    <t>Aadjacency MATRIX (10,30)</t>
  </si>
  <si>
    <t>Inserr rute</t>
  </si>
  <si>
    <t>Aadjacency MATRIX (20, 60)</t>
  </si>
  <si>
    <t>Aadjacency MATRIX (30, 100)</t>
  </si>
  <si>
    <t>Data Adjacency Matrix</t>
  </si>
  <si>
    <t>Adjacecncy List (ms)</t>
  </si>
  <si>
    <t>Adjacency matrix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</si>
</sst>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Ringkasan rata-rata</a:t>
            </a:r>
            <a:r>
              <a:rPr lang="en-ID" baseline="0"/>
              <a:t> (Data Besar 30/100)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Sheet1!$C$55</c:f>
              <c:strCache>
                <c:ptCount val="1"/>
                <c:pt idx="0">
                  <c:v>Adjacecncy List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Sheet1!$B$56:$B$58</c:f>
              <c:strCache>
                <c:ptCount val="3"/>
                <c:pt idx="0">
                  <c:v>Search Berhasil</c:v>
                </c:pt>
                <c:pt idx="1">
                  <c:v>Search gagal</c:v>
                </c:pt>
                <c:pt idx="2">
                  <c:v>Insert rute</c:v>
                </c:pt>
              </c:strCache>
            </c:strRef>
          </c:cat>
          <c:val>
            <c:numRef>
              <c:f>Sheet1!$C$56:$C$58</c:f>
              <c:numCache>
                <c:formatCode>General</c:formatCode>
                <c:ptCount val="3"/>
                <c:pt idx="0">
                  <c:v>8.3000000000000001E-3</c:v>
                </c:pt>
                <c:pt idx="1">
                  <c:v>1.17E-3</c:v>
                </c:pt>
                <c:pt idx="2">
                  <c:v>3.6900000000000002E-2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0-4051-9C19-F3EE2CDACCC0}"/>
            </c:ext>
          </c:extLst>
        </c:ser>
        <c:ser>
          <c:idx val="1"/>
          <c:order val="1"/>
          <c:tx>
            <c:strRef>
              <c:f>Sheet1!$D$55</c:f>
              <c:strCache>
                <c:ptCount val="1"/>
                <c:pt idx="0">
                  <c:v>Adjacency matrix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Sheet1!$B$56:$B$58</c:f>
              <c:strCache>
                <c:ptCount val="3"/>
                <c:pt idx="0">
                  <c:v>Search Berhasil</c:v>
                </c:pt>
                <c:pt idx="1">
                  <c:v>Search gagal</c:v>
                </c:pt>
                <c:pt idx="2">
                  <c:v>Insert rute</c:v>
                </c:pt>
              </c:strCache>
            </c:strRef>
          </c:cat>
          <c:val>
            <c:numRef>
              <c:f>Sheet1!$D$56:$D$58</c:f>
              <c:numCache>
                <c:formatCode>General</c:formatCode>
                <c:ptCount val="3"/>
                <c:pt idx="0">
                  <c:v>4.4000000000000003E-3</c:v>
                </c:pt>
                <c:pt idx="1">
                  <c:v>3.7999999999999999E-2</c:v>
                </c:pt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0-4051-9C19-F3EE2CDAC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51056"/>
        <c:axId val="100251536"/>
      </c:barChart>
      <c:catAx>
        <c:axId val="1002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1536"/>
        <c:crosses val="autoZero"/>
        <c:auto val="1"/>
        <c:lblAlgn val="ctr"/>
        <c:lblOffset val="100"/>
        <c:noMultiLvlLbl val="0"/>
      </c:catAx>
      <c:valAx>
        <c:axId val="1002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564496</xdr:colOff>
      <xdr:row>59</xdr:row>
      <xdr:rowOff>71157</xdr:rowOff>
    </xdr:from>
    <xdr:to>
      <xdr:col>3</xdr:col>
      <xdr:colOff>1228445</xdr:colOff>
      <xdr:row>73</xdr:row>
      <xdr:rowOff>68916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DD2C2-8BE6-CCFD-54D7-2A45ECBD4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E85C-5451-4B77-90A7-D29E6D4A2F35}">
  <dimension ref="B2:M58"/>
  <sheetViews>
    <sheetView tabSelected="1" topLeftCell="A30" zoomScale="54" zoomScaleNormal="87" workbookViewId="0">
      <selection activeCell="U60" sqref="U60"/>
    </sheetView>
  </sheetViews>
  <sheetFormatPr defaultRowHeight="15" x14ac:dyDescent="0.25"/>
  <cols>
    <col min="2" max="2" width="29.140625" customWidth="1"/>
    <col min="3" max="3" width="20.140625" customWidth="1"/>
    <col min="4" max="4" width="19.42578125" customWidth="1"/>
    <col min="5" max="5" width="19.5703125" customWidth="1"/>
  </cols>
  <sheetData>
    <row r="2" spans="2:13" x14ac:dyDescent="0.25">
      <c r="B2" t="s">
        <v>1</v>
      </c>
    </row>
    <row r="3" spans="2:13" x14ac:dyDescent="0.25">
      <c r="B3" t="s">
        <v>13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</row>
    <row r="4" spans="2:13" x14ac:dyDescent="0.25">
      <c r="B4" s="1" t="s">
        <v>0</v>
      </c>
      <c r="C4" s="1">
        <v>0.01</v>
      </c>
      <c r="D4" s="1">
        <v>8.9999999999999993E-3</v>
      </c>
      <c r="E4" s="1">
        <v>8.9999999999999993E-3</v>
      </c>
      <c r="F4" s="1">
        <v>1.0999999999999999E-2</v>
      </c>
      <c r="G4" s="1">
        <v>1.4E-2</v>
      </c>
      <c r="H4" s="1">
        <v>8.9999999999999993E-3</v>
      </c>
      <c r="I4" s="1">
        <v>1.0999999999999999E-2</v>
      </c>
      <c r="J4" s="1">
        <v>8.0000000000000002E-3</v>
      </c>
      <c r="K4" s="1">
        <v>1.0999999999999999E-2</v>
      </c>
      <c r="L4" s="1">
        <v>1.2999999999999999E-2</v>
      </c>
      <c r="M4">
        <f>SUM(C4:L4)</f>
        <v>0.10499999999999998</v>
      </c>
    </row>
    <row r="5" spans="2:13" x14ac:dyDescent="0.25">
      <c r="B5" s="1" t="s">
        <v>2</v>
      </c>
      <c r="C5" s="1">
        <v>6.0000000000000001E-3</v>
      </c>
      <c r="D5" s="1">
        <v>5.0000000000000001E-3</v>
      </c>
      <c r="E5" s="1">
        <v>4.0000000000000001E-3</v>
      </c>
      <c r="F5" s="1">
        <v>6.0000000000000001E-3</v>
      </c>
      <c r="G5" s="1">
        <v>3.0000000000000001E-3</v>
      </c>
      <c r="H5" s="1">
        <v>4.0000000000000001E-3</v>
      </c>
      <c r="I5" s="1">
        <v>4.0000000000000001E-3</v>
      </c>
      <c r="J5" s="1">
        <v>4.0000000000000001E-3</v>
      </c>
      <c r="K5" s="1">
        <v>6.0000000000000001E-3</v>
      </c>
      <c r="L5" s="1">
        <v>4.0000000000000001E-3</v>
      </c>
      <c r="M5">
        <f>SUM(C5:L5)</f>
        <v>4.5999999999999999E-2</v>
      </c>
    </row>
    <row r="6" spans="2:13" x14ac:dyDescent="0.25">
      <c r="B6" s="1" t="s">
        <v>3</v>
      </c>
      <c r="C6" s="1">
        <v>6.0000000000000001E-3</v>
      </c>
      <c r="D6" s="1">
        <v>5.0000000000000001E-3</v>
      </c>
      <c r="E6" s="1">
        <v>6.0000000000000001E-3</v>
      </c>
      <c r="F6" s="1">
        <v>6.0000000000000001E-3</v>
      </c>
      <c r="G6" s="1">
        <v>5.0000000000000001E-3</v>
      </c>
      <c r="H6" s="1">
        <v>0.01</v>
      </c>
      <c r="I6" s="1">
        <v>7.0000000000000001E-3</v>
      </c>
      <c r="J6" s="1">
        <v>7.0000000000000001E-3</v>
      </c>
      <c r="K6" s="1">
        <v>5.0000000000000001E-3</v>
      </c>
      <c r="L6" s="1">
        <v>7.0000000000000001E-3</v>
      </c>
      <c r="M6">
        <f>SUM(C6:L6)</f>
        <v>6.4000000000000001E-2</v>
      </c>
    </row>
    <row r="9" spans="2:13" x14ac:dyDescent="0.25">
      <c r="B9" t="s">
        <v>4</v>
      </c>
    </row>
    <row r="10" spans="2:13" x14ac:dyDescent="0.25"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</row>
    <row r="11" spans="2:13" x14ac:dyDescent="0.25">
      <c r="B11" s="1" t="s">
        <v>0</v>
      </c>
      <c r="C11" s="1">
        <v>8.0000000000000002E-3</v>
      </c>
      <c r="D11" s="1">
        <v>8.0000000000000002E-3</v>
      </c>
      <c r="E11" s="1">
        <v>1.2E-2</v>
      </c>
      <c r="F11" s="1">
        <v>1.2E-2</v>
      </c>
      <c r="G11" s="1">
        <v>1.2E-2</v>
      </c>
      <c r="H11" s="1">
        <v>0.01</v>
      </c>
      <c r="I11" s="1">
        <v>8.9999999999999993E-3</v>
      </c>
      <c r="J11" s="1">
        <v>8.9999999999999993E-3</v>
      </c>
      <c r="K11" s="1">
        <v>1.0999999999999999E-2</v>
      </c>
      <c r="L11" s="1">
        <v>0.12</v>
      </c>
      <c r="M11">
        <f>SUM(C11:L11)</f>
        <v>0.21099999999999999</v>
      </c>
    </row>
    <row r="12" spans="2:13" x14ac:dyDescent="0.25">
      <c r="B12" s="1" t="s">
        <v>2</v>
      </c>
      <c r="C12" s="1">
        <v>0.01</v>
      </c>
      <c r="D12" s="1">
        <v>8.0000000000000002E-3</v>
      </c>
      <c r="E12" s="1">
        <v>8.9999999999999993E-3</v>
      </c>
      <c r="F12" s="1">
        <v>8.0000000000000002E-3</v>
      </c>
      <c r="G12" s="1">
        <v>7.0000000000000001E-3</v>
      </c>
      <c r="H12" s="1">
        <v>8.0000000000000002E-3</v>
      </c>
      <c r="I12" s="1">
        <v>7.0000000000000001E-3</v>
      </c>
      <c r="J12" s="1">
        <v>8.0000000000000002E-3</v>
      </c>
      <c r="K12" s="1">
        <v>8.0000000000000002E-3</v>
      </c>
      <c r="L12" s="1">
        <v>7.0000000000000001E-3</v>
      </c>
      <c r="M12">
        <f>SUM(C12:L12)</f>
        <v>8.0000000000000016E-2</v>
      </c>
    </row>
    <row r="13" spans="2:13" x14ac:dyDescent="0.25">
      <c r="B13" s="1" t="s">
        <v>3</v>
      </c>
      <c r="C13" s="1">
        <v>8.9999999999999993E-3</v>
      </c>
      <c r="D13" s="1">
        <v>2.5999999999999999E-2</v>
      </c>
      <c r="E13" s="1">
        <v>0.01</v>
      </c>
      <c r="F13" s="1">
        <v>8.0000000000000002E-3</v>
      </c>
      <c r="G13" s="1">
        <v>8.0000000000000002E-3</v>
      </c>
      <c r="H13" s="1">
        <v>8.0000000000000002E-3</v>
      </c>
      <c r="I13" s="1">
        <v>8.0000000000000002E-3</v>
      </c>
      <c r="J13" s="1">
        <v>7.0000000000000001E-3</v>
      </c>
      <c r="K13" s="1">
        <v>8.0000000000000002E-3</v>
      </c>
      <c r="L13" s="1">
        <v>8.0000000000000002E-3</v>
      </c>
      <c r="M13">
        <f>SUM(C13:L13)</f>
        <v>0.10000000000000003</v>
      </c>
    </row>
    <row r="16" spans="2:13" x14ac:dyDescent="0.25">
      <c r="B16" t="s">
        <v>5</v>
      </c>
    </row>
    <row r="17" spans="2:13" x14ac:dyDescent="0.25">
      <c r="C17" s="1">
        <v>1</v>
      </c>
      <c r="D17" s="1">
        <v>2</v>
      </c>
      <c r="E17" s="1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</row>
    <row r="18" spans="2:13" x14ac:dyDescent="0.25">
      <c r="B18" s="1" t="s">
        <v>0</v>
      </c>
      <c r="C18" s="1">
        <v>0.22500000000000001</v>
      </c>
      <c r="D18" s="1">
        <v>2.1999999999999999E-2</v>
      </c>
      <c r="E18" s="1">
        <v>1.0999999999999999E-2</v>
      </c>
      <c r="F18" s="1">
        <v>1.2E-2</v>
      </c>
      <c r="G18" s="1">
        <v>1.2E-2</v>
      </c>
      <c r="H18" s="1">
        <v>1.6E-2</v>
      </c>
      <c r="I18" s="1">
        <v>1.6E-2</v>
      </c>
      <c r="J18" s="1">
        <v>2.1000000000000001E-2</v>
      </c>
      <c r="K18" s="1">
        <v>1.7000000000000001E-2</v>
      </c>
      <c r="L18" s="1">
        <v>1.7000000000000001E-2</v>
      </c>
      <c r="M18">
        <f>SUM(C18:L18)</f>
        <v>0.36900000000000011</v>
      </c>
    </row>
    <row r="19" spans="2:13" x14ac:dyDescent="0.25">
      <c r="B19" s="1" t="s">
        <v>2</v>
      </c>
      <c r="C19" s="1">
        <v>1.2E-2</v>
      </c>
      <c r="D19" s="1">
        <v>8.0000000000000002E-3</v>
      </c>
      <c r="E19" s="1">
        <v>8.0000000000000002E-3</v>
      </c>
      <c r="F19" s="1">
        <v>7.0000000000000001E-3</v>
      </c>
      <c r="G19" s="1">
        <v>0.01</v>
      </c>
      <c r="H19" s="1">
        <v>8.0000000000000002E-3</v>
      </c>
      <c r="I19" s="1">
        <v>6.0000000000000001E-3</v>
      </c>
      <c r="J19" s="1">
        <v>8.9999999999999993E-3</v>
      </c>
      <c r="K19" s="1">
        <v>6.0000000000000001E-3</v>
      </c>
      <c r="L19" s="1">
        <v>8.9999999999999993E-3</v>
      </c>
      <c r="M19">
        <f>SUM(C19:L19)</f>
        <v>8.3000000000000004E-2</v>
      </c>
    </row>
    <row r="20" spans="2:13" x14ac:dyDescent="0.25">
      <c r="B20" s="1" t="s">
        <v>3</v>
      </c>
      <c r="C20" s="1">
        <v>8.9999999999999993E-3</v>
      </c>
      <c r="D20" s="1">
        <v>7.0000000000000001E-3</v>
      </c>
      <c r="E20" s="1">
        <v>8.9999999999999993E-3</v>
      </c>
      <c r="F20" s="1">
        <v>8.0000000000000002E-3</v>
      </c>
      <c r="G20" s="1">
        <v>8.9999999999999993E-3</v>
      </c>
      <c r="H20" s="1">
        <v>0.01</v>
      </c>
      <c r="I20" s="1">
        <v>8.9999999999999993E-3</v>
      </c>
      <c r="J20" s="1">
        <v>8.0000000000000002E-3</v>
      </c>
      <c r="K20" s="1">
        <v>3.7999999999999999E-2</v>
      </c>
      <c r="L20" s="1">
        <v>0.01</v>
      </c>
      <c r="M20">
        <f>SUM(C20:L20)</f>
        <v>0.11700000000000001</v>
      </c>
    </row>
    <row r="23" spans="2:13" x14ac:dyDescent="0.25">
      <c r="B23" s="1" t="s">
        <v>6</v>
      </c>
      <c r="C23" s="1" t="s">
        <v>7</v>
      </c>
      <c r="D23" s="1" t="s">
        <v>8</v>
      </c>
      <c r="E23" s="1" t="s">
        <v>9</v>
      </c>
    </row>
    <row r="24" spans="2:13" x14ac:dyDescent="0.25">
      <c r="B24" s="1" t="s">
        <v>12</v>
      </c>
      <c r="C24" s="1">
        <f>M4/10</f>
        <v>1.0499999999999999E-2</v>
      </c>
      <c r="D24" s="1">
        <f>M5/10</f>
        <v>4.5999999999999999E-3</v>
      </c>
      <c r="E24" s="1">
        <f>M6/10</f>
        <v>6.4000000000000003E-3</v>
      </c>
    </row>
    <row r="25" spans="2:13" x14ac:dyDescent="0.25">
      <c r="B25" s="1" t="s">
        <v>11</v>
      </c>
      <c r="C25" s="1">
        <f>M11/10</f>
        <v>2.1100000000000001E-2</v>
      </c>
      <c r="D25" s="1">
        <f>M12/10</f>
        <v>8.0000000000000019E-3</v>
      </c>
      <c r="E25" s="1">
        <f>M13/10</f>
        <v>1.0000000000000004E-2</v>
      </c>
    </row>
    <row r="26" spans="2:13" x14ac:dyDescent="0.25">
      <c r="B26" s="1" t="s">
        <v>10</v>
      </c>
      <c r="C26" s="1">
        <f>M18/10</f>
        <v>3.6900000000000009E-2</v>
      </c>
      <c r="D26" s="1">
        <f>M19/10</f>
        <v>8.3000000000000001E-3</v>
      </c>
      <c r="E26" s="1">
        <f>M20/10</f>
        <v>1.17E-2</v>
      </c>
    </row>
    <row r="33" spans="2:13" x14ac:dyDescent="0.25">
      <c r="B33" t="s">
        <v>23</v>
      </c>
    </row>
    <row r="35" spans="2:13" x14ac:dyDescent="0.25">
      <c r="B35" s="1" t="s">
        <v>19</v>
      </c>
      <c r="C35" s="1">
        <v>1</v>
      </c>
      <c r="D35" s="1">
        <v>2</v>
      </c>
      <c r="E35" s="1">
        <v>3</v>
      </c>
      <c r="F35" s="1">
        <v>4</v>
      </c>
      <c r="G35" s="1">
        <v>5</v>
      </c>
      <c r="H35" s="1">
        <v>6</v>
      </c>
      <c r="I35" s="1">
        <v>7</v>
      </c>
      <c r="J35" s="1">
        <v>8</v>
      </c>
      <c r="K35" s="1">
        <v>9</v>
      </c>
      <c r="L35" s="1">
        <v>10</v>
      </c>
    </row>
    <row r="36" spans="2:13" x14ac:dyDescent="0.25">
      <c r="B36" s="1" t="s">
        <v>17</v>
      </c>
      <c r="C36" s="1">
        <v>4.0000000000000001E-3</v>
      </c>
      <c r="D36" s="1">
        <v>3.0000000000000001E-3</v>
      </c>
      <c r="E36" s="1">
        <v>4.0000000000000001E-3</v>
      </c>
      <c r="F36" s="1">
        <v>4.0000000000000001E-3</v>
      </c>
      <c r="G36" s="1">
        <v>4.0000000000000001E-3</v>
      </c>
      <c r="H36" s="1">
        <v>4.0000000000000001E-3</v>
      </c>
      <c r="I36" s="1">
        <v>4.0000000000000001E-3</v>
      </c>
      <c r="J36" s="1">
        <v>3.0000000000000001E-3</v>
      </c>
      <c r="K36" s="1">
        <v>3.0000000000000001E-3</v>
      </c>
      <c r="L36" s="1">
        <v>3.0000000000000001E-3</v>
      </c>
      <c r="M36">
        <f>AVERAGE(C36:L36)</f>
        <v>3.6000000000000003E-3</v>
      </c>
    </row>
    <row r="37" spans="2:13" x14ac:dyDescent="0.25">
      <c r="B37" s="1" t="s">
        <v>18</v>
      </c>
      <c r="C37" s="1">
        <v>5.0000000000000001E-3</v>
      </c>
      <c r="D37" s="1">
        <v>3.0000000000000001E-3</v>
      </c>
      <c r="E37" s="1">
        <v>3.0000000000000001E-3</v>
      </c>
      <c r="F37" s="1">
        <v>3.0000000000000001E-3</v>
      </c>
      <c r="G37" s="1">
        <v>3.0000000000000001E-3</v>
      </c>
      <c r="H37" s="1">
        <v>3.0000000000000001E-3</v>
      </c>
      <c r="I37" s="1">
        <v>3.0000000000000001E-3</v>
      </c>
      <c r="J37" s="1">
        <v>3.0000000000000001E-3</v>
      </c>
      <c r="K37" s="1">
        <v>3.0000000000000001E-3</v>
      </c>
      <c r="L37" s="1">
        <v>3.0000000000000001E-3</v>
      </c>
      <c r="M37">
        <f t="shared" ref="M37:M38" si="0">AVERAGE(C37:L37)</f>
        <v>3.1999999999999993E-3</v>
      </c>
    </row>
    <row r="38" spans="2:13" x14ac:dyDescent="0.25">
      <c r="B38" s="1" t="s">
        <v>20</v>
      </c>
      <c r="C38" s="1">
        <v>5.0000000000000001E-3</v>
      </c>
      <c r="D38" s="1">
        <v>2E-3</v>
      </c>
      <c r="E38" s="1">
        <v>4.0000000000000001E-3</v>
      </c>
      <c r="F38" s="1">
        <v>4.0000000000000001E-3</v>
      </c>
      <c r="G38" s="1">
        <v>6.0000000000000001E-3</v>
      </c>
      <c r="H38" s="1">
        <v>3.0000000000000001E-3</v>
      </c>
      <c r="I38" s="1">
        <v>3.0000000000000001E-3</v>
      </c>
      <c r="J38" s="1">
        <v>7.0000000000000001E-3</v>
      </c>
      <c r="K38" s="1">
        <v>3.0000000000000001E-3</v>
      </c>
      <c r="L38" s="1">
        <v>3.0000000000000001E-3</v>
      </c>
      <c r="M38">
        <f t="shared" si="0"/>
        <v>4.0000000000000001E-3</v>
      </c>
    </row>
    <row r="40" spans="2:13" x14ac:dyDescent="0.25">
      <c r="B40" s="1" t="s">
        <v>21</v>
      </c>
      <c r="C40" s="1">
        <v>1</v>
      </c>
      <c r="D40" s="1">
        <v>2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L40" s="1">
        <v>10</v>
      </c>
    </row>
    <row r="41" spans="2:13" x14ac:dyDescent="0.25">
      <c r="B41" s="1" t="s">
        <v>17</v>
      </c>
      <c r="C41" s="1">
        <v>4.0000000000000001E-3</v>
      </c>
      <c r="D41" s="1">
        <v>4.0000000000000001E-3</v>
      </c>
      <c r="E41" s="1">
        <v>4.0000000000000001E-3</v>
      </c>
      <c r="F41" s="1">
        <v>4.0000000000000001E-3</v>
      </c>
      <c r="G41" s="1">
        <v>4.0000000000000001E-3</v>
      </c>
      <c r="H41" s="1">
        <v>4.0000000000000001E-3</v>
      </c>
      <c r="I41" s="1">
        <v>4.0000000000000001E-3</v>
      </c>
      <c r="J41" s="1">
        <v>3.0000000000000001E-3</v>
      </c>
      <c r="K41" s="1">
        <v>4.0000000000000001E-3</v>
      </c>
      <c r="L41" s="1">
        <v>4.0000000000000001E-3</v>
      </c>
      <c r="M41">
        <f>AVERAGE(C41:L41)</f>
        <v>3.9000000000000007E-3</v>
      </c>
    </row>
    <row r="42" spans="2:13" x14ac:dyDescent="0.25">
      <c r="B42" s="1" t="s">
        <v>18</v>
      </c>
      <c r="C42" s="1">
        <v>3.0000000000000001E-3</v>
      </c>
      <c r="D42" s="1">
        <v>5.0000000000000001E-3</v>
      </c>
      <c r="E42" s="1">
        <v>3.0000000000000001E-3</v>
      </c>
      <c r="F42" s="1">
        <v>3.0000000000000001E-3</v>
      </c>
      <c r="G42" s="1">
        <v>2E-3</v>
      </c>
      <c r="H42" s="1">
        <v>3.0000000000000001E-3</v>
      </c>
      <c r="I42" s="1">
        <v>2E-3</v>
      </c>
      <c r="J42" s="1">
        <v>0.01</v>
      </c>
      <c r="K42" s="1">
        <v>3.0000000000000001E-3</v>
      </c>
      <c r="L42" s="1">
        <v>2E-3</v>
      </c>
      <c r="M42">
        <f t="shared" ref="M42:M43" si="1">AVERAGE(C42:L42)</f>
        <v>3.6000000000000003E-3</v>
      </c>
    </row>
    <row r="43" spans="2:13" x14ac:dyDescent="0.25">
      <c r="B43" s="1" t="s">
        <v>20</v>
      </c>
      <c r="C43" s="1">
        <v>4.0000000000000001E-3</v>
      </c>
      <c r="D43" s="1">
        <v>4.0000000000000001E-3</v>
      </c>
      <c r="E43" s="1">
        <v>4.0000000000000001E-3</v>
      </c>
      <c r="F43" s="1">
        <v>2E-3</v>
      </c>
      <c r="G43" s="1">
        <v>4.0000000000000001E-3</v>
      </c>
      <c r="H43" s="1">
        <v>4.0000000000000001E-3</v>
      </c>
      <c r="I43" s="1">
        <v>4.0000000000000001E-3</v>
      </c>
      <c r="J43" s="1">
        <v>3.0000000000000001E-3</v>
      </c>
      <c r="K43" s="1">
        <v>3.0000000000000001E-3</v>
      </c>
      <c r="L43" s="1">
        <v>3.0000000000000001E-3</v>
      </c>
      <c r="M43">
        <f t="shared" si="1"/>
        <v>3.5000000000000005E-3</v>
      </c>
    </row>
    <row r="45" spans="2:13" x14ac:dyDescent="0.25">
      <c r="B45" s="1" t="s">
        <v>22</v>
      </c>
      <c r="C45" s="1">
        <v>1</v>
      </c>
      <c r="D45" s="1">
        <v>2</v>
      </c>
      <c r="E45" s="1">
        <v>3</v>
      </c>
      <c r="F45" s="1">
        <v>4</v>
      </c>
      <c r="G45" s="1">
        <v>5</v>
      </c>
      <c r="H45" s="1">
        <v>6</v>
      </c>
      <c r="I45" s="1">
        <v>7</v>
      </c>
      <c r="J45" s="1">
        <v>8</v>
      </c>
      <c r="K45" s="1">
        <v>9</v>
      </c>
      <c r="L45" s="1">
        <v>10</v>
      </c>
    </row>
    <row r="46" spans="2:13" x14ac:dyDescent="0.25">
      <c r="B46" s="1" t="s">
        <v>17</v>
      </c>
      <c r="C46" s="1">
        <v>4.0000000000000001E-3</v>
      </c>
      <c r="D46" s="1">
        <v>5.0000000000000001E-3</v>
      </c>
      <c r="E46" s="1">
        <v>3.0000000000000001E-3</v>
      </c>
      <c r="F46" s="1">
        <v>4.0000000000000001E-3</v>
      </c>
      <c r="G46" s="1">
        <v>5.0000000000000001E-3</v>
      </c>
      <c r="H46" s="1">
        <v>4.0000000000000001E-3</v>
      </c>
      <c r="I46" s="1">
        <v>4.0000000000000001E-3</v>
      </c>
      <c r="J46" s="1">
        <v>5.0000000000000001E-3</v>
      </c>
      <c r="K46" s="1">
        <v>3.0000000000000001E-3</v>
      </c>
      <c r="L46" s="1">
        <v>7.0000000000000001E-3</v>
      </c>
      <c r="M46">
        <f>AVERAGE(C46:L46)</f>
        <v>4.4000000000000003E-3</v>
      </c>
    </row>
    <row r="47" spans="2:13" x14ac:dyDescent="0.25">
      <c r="B47" s="1" t="s">
        <v>18</v>
      </c>
      <c r="C47" s="1">
        <v>3.0000000000000001E-3</v>
      </c>
      <c r="D47" s="1">
        <v>4.0000000000000001E-3</v>
      </c>
      <c r="E47" s="1">
        <v>4.0000000000000001E-3</v>
      </c>
      <c r="F47" s="1">
        <v>4.0000000000000001E-3</v>
      </c>
      <c r="G47" s="1">
        <v>6.0000000000000001E-3</v>
      </c>
      <c r="H47" s="1">
        <v>3.0000000000000001E-3</v>
      </c>
      <c r="I47" s="1">
        <v>4.0000000000000001E-3</v>
      </c>
      <c r="J47" s="1">
        <v>3.0000000000000001E-3</v>
      </c>
      <c r="K47" s="1">
        <v>3.0000000000000001E-3</v>
      </c>
      <c r="L47" s="1">
        <v>4.0000000000000001E-3</v>
      </c>
      <c r="M47">
        <f t="shared" ref="M47:M48" si="2">AVERAGE(C47:L47)</f>
        <v>3.7999999999999991E-3</v>
      </c>
    </row>
    <row r="48" spans="2:13" x14ac:dyDescent="0.25">
      <c r="B48" s="1" t="s">
        <v>20</v>
      </c>
      <c r="C48" s="1">
        <v>4.0000000000000001E-3</v>
      </c>
      <c r="D48" s="1">
        <v>4.0000000000000001E-3</v>
      </c>
      <c r="E48" s="1">
        <v>5.0000000000000001E-3</v>
      </c>
      <c r="F48" s="1">
        <v>4.0000000000000001E-3</v>
      </c>
      <c r="G48" s="1">
        <v>4.0000000000000001E-3</v>
      </c>
      <c r="H48" s="1">
        <v>4.0000000000000001E-3</v>
      </c>
      <c r="I48" s="1">
        <v>3.0000000000000001E-3</v>
      </c>
      <c r="J48" s="1">
        <v>4.0000000000000001E-3</v>
      </c>
      <c r="K48" s="1">
        <v>3.0000000000000001E-3</v>
      </c>
      <c r="L48" s="1">
        <v>5.0000000000000001E-3</v>
      </c>
      <c r="M48">
        <f t="shared" si="2"/>
        <v>4.0000000000000001E-3</v>
      </c>
    </row>
    <row r="50" spans="2:5" x14ac:dyDescent="0.25">
      <c r="B50" s="1" t="s">
        <v>6</v>
      </c>
      <c r="C50" s="1" t="s">
        <v>7</v>
      </c>
      <c r="D50" s="1" t="s">
        <v>8</v>
      </c>
      <c r="E50" s="1" t="s">
        <v>9</v>
      </c>
    </row>
    <row r="51" spans="2:5" x14ac:dyDescent="0.25">
      <c r="B51" s="1" t="s">
        <v>12</v>
      </c>
      <c r="C51" s="1">
        <v>4.0000000000000001E-3</v>
      </c>
      <c r="D51" s="1">
        <v>3.5999999999999999E-3</v>
      </c>
      <c r="E51" s="1">
        <v>3.2000000000000002E-3</v>
      </c>
    </row>
    <row r="52" spans="2:5" x14ac:dyDescent="0.25">
      <c r="B52" s="1" t="s">
        <v>11</v>
      </c>
      <c r="C52" s="1">
        <v>3.5000000000000001E-3</v>
      </c>
      <c r="D52" s="1">
        <v>3.8999999999999998E-3</v>
      </c>
      <c r="E52" s="1">
        <v>3.5999999999999999E-3</v>
      </c>
    </row>
    <row r="53" spans="2:5" x14ac:dyDescent="0.25">
      <c r="B53" s="1" t="s">
        <v>10</v>
      </c>
      <c r="C53" s="1">
        <v>4.0000000000000001E-3</v>
      </c>
      <c r="D53" s="1">
        <v>4.4000000000000003E-3</v>
      </c>
      <c r="E53" s="1">
        <v>3.8E-3</v>
      </c>
    </row>
    <row r="55" spans="2:5" x14ac:dyDescent="0.25">
      <c r="B55" s="1" t="s">
        <v>14</v>
      </c>
      <c r="C55" s="1" t="s">
        <v>24</v>
      </c>
      <c r="D55" s="1" t="s">
        <v>25</v>
      </c>
    </row>
    <row r="56" spans="2:5" x14ac:dyDescent="0.25">
      <c r="B56" s="1" t="s">
        <v>15</v>
      </c>
      <c r="C56" s="1">
        <v>8.3000000000000001E-3</v>
      </c>
      <c r="D56" s="1">
        <v>4.4000000000000003E-3</v>
      </c>
    </row>
    <row r="57" spans="2:5" x14ac:dyDescent="0.25">
      <c r="B57" s="1" t="s">
        <v>18</v>
      </c>
      <c r="C57" s="1">
        <v>1.17E-3</v>
      </c>
      <c r="D57" s="1">
        <v>3.7999999999999999E-2</v>
      </c>
    </row>
    <row r="58" spans="2:5" x14ac:dyDescent="0.25">
      <c r="B58" s="1" t="s">
        <v>16</v>
      </c>
      <c r="C58" s="1">
        <v>3.6900000000000002E-2</v>
      </c>
      <c r="D58" s="1">
        <v>0.04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Aufa Rafli Sofwan Pasya</dc:creator>
  <cp:lastModifiedBy>Aufa Rafli Sofwan Pasya</cp:lastModifiedBy>
  <dcterms:created xsi:type="dcterms:W3CDTF">2026-03-12T10:35:00Z</dcterms:created>
  <dcterms:modified xsi:type="dcterms:W3CDTF">2026-05-18T03:38:05Z</dcterms:modified>
</cp:coreProperties>
</file>